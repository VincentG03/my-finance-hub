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giang/Documents/GitHub/my-finance-hub/data/"/>
    </mc:Choice>
  </mc:AlternateContent>
  <xr:revisionPtr revIDLastSave="0" documentId="13_ncr:1_{57942D9F-986A-1944-87A3-913D64A5DFF5}" xr6:coauthVersionLast="47" xr6:coauthVersionMax="47" xr10:uidLastSave="{00000000-0000-0000-0000-000000000000}"/>
  <bookViews>
    <workbookView xWindow="0" yWindow="780" windowWidth="36000" windowHeight="21260" activeTab="1" xr2:uid="{3BD675DF-4CB5-DF44-965C-9C90F624AC09}"/>
  </bookViews>
  <sheets>
    <sheet name="Info" sheetId="7" r:id="rId1"/>
    <sheet name="Assets &amp; Liabilities" sheetId="1" r:id="rId2"/>
    <sheet name="Employment" sheetId="2" r:id="rId3"/>
    <sheet name="Investments - Cost Basi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6" l="1"/>
  <c r="K41" i="6"/>
  <c r="H42" i="6"/>
  <c r="H41" i="6"/>
  <c r="K40" i="6"/>
  <c r="H40" i="6"/>
  <c r="K36" i="6"/>
  <c r="H36" i="6"/>
  <c r="K9" i="6"/>
  <c r="K10" i="6"/>
  <c r="K11" i="6"/>
  <c r="K12" i="6"/>
  <c r="K18" i="6"/>
  <c r="K28" i="6"/>
  <c r="K29" i="6"/>
  <c r="K30" i="6"/>
  <c r="K31" i="6"/>
  <c r="K39" i="6"/>
  <c r="K2" i="6"/>
  <c r="H3" i="6"/>
  <c r="K3" i="6" s="1"/>
  <c r="H4" i="6"/>
  <c r="K4" i="6" s="1"/>
  <c r="H5" i="6"/>
  <c r="K5" i="6" s="1"/>
  <c r="H6" i="6"/>
  <c r="K6" i="6" s="1"/>
  <c r="H7" i="6"/>
  <c r="K7" i="6" s="1"/>
  <c r="H8" i="6"/>
  <c r="K8" i="6" s="1"/>
  <c r="H9" i="6"/>
  <c r="H10" i="6"/>
  <c r="H11" i="6"/>
  <c r="H12" i="6"/>
  <c r="H13" i="6"/>
  <c r="K13" i="6" s="1"/>
  <c r="H14" i="6"/>
  <c r="K14" i="6" s="1"/>
  <c r="H15" i="6"/>
  <c r="K15" i="6" s="1"/>
  <c r="H16" i="6"/>
  <c r="K16" i="6" s="1"/>
  <c r="H17" i="6"/>
  <c r="K17" i="6" s="1"/>
  <c r="H18" i="6"/>
  <c r="H19" i="6"/>
  <c r="K19" i="6" s="1"/>
  <c r="H20" i="6"/>
  <c r="K20" i="6" s="1"/>
  <c r="H21" i="6"/>
  <c r="K21" i="6" s="1"/>
  <c r="H22" i="6"/>
  <c r="K22" i="6" s="1"/>
  <c r="H23" i="6"/>
  <c r="K23" i="6" s="1"/>
  <c r="H24" i="6"/>
  <c r="K24" i="6" s="1"/>
  <c r="H25" i="6"/>
  <c r="K25" i="6" s="1"/>
  <c r="H26" i="6"/>
  <c r="K26" i="6" s="1"/>
  <c r="H27" i="6"/>
  <c r="K27" i="6" s="1"/>
  <c r="H28" i="6"/>
  <c r="H29" i="6"/>
  <c r="H30" i="6"/>
  <c r="H31" i="6"/>
  <c r="H32" i="6"/>
  <c r="K32" i="6" s="1"/>
  <c r="H33" i="6"/>
  <c r="K33" i="6" s="1"/>
  <c r="H34" i="6"/>
  <c r="K34" i="6" s="1"/>
  <c r="H35" i="6"/>
  <c r="K35" i="6" s="1"/>
  <c r="H37" i="6"/>
  <c r="K37" i="6" s="1"/>
  <c r="H38" i="6"/>
  <c r="K38" i="6" s="1"/>
  <c r="H39" i="6"/>
  <c r="H2" i="6"/>
</calcChain>
</file>

<file path=xl/sharedStrings.xml><?xml version="1.0" encoding="utf-8"?>
<sst xmlns="http://schemas.openxmlformats.org/spreadsheetml/2006/main" count="288" uniqueCount="163">
  <si>
    <t>Date</t>
  </si>
  <si>
    <t>Liabilities</t>
  </si>
  <si>
    <t>Phone</t>
  </si>
  <si>
    <t>Airpods Pro</t>
  </si>
  <si>
    <t>Apple Watch</t>
  </si>
  <si>
    <t>MacBook</t>
  </si>
  <si>
    <t>Student Loans - Monash University</t>
  </si>
  <si>
    <t>Date Started</t>
  </si>
  <si>
    <t>Date Ended</t>
  </si>
  <si>
    <t>Company</t>
  </si>
  <si>
    <t>Position</t>
  </si>
  <si>
    <t>Type</t>
  </si>
  <si>
    <t>Stock</t>
  </si>
  <si>
    <t>Comments</t>
  </si>
  <si>
    <t>Base Salary</t>
  </si>
  <si>
    <t>Super</t>
  </si>
  <si>
    <t>Total Compensation</t>
  </si>
  <si>
    <t>Assets</t>
  </si>
  <si>
    <t>Currency</t>
  </si>
  <si>
    <t>Total Value</t>
  </si>
  <si>
    <t>Stocks - Stake AUS - IVV</t>
  </si>
  <si>
    <t>Trade Date</t>
  </si>
  <si>
    <t>Settlement Date</t>
  </si>
  <si>
    <t>Symbol</t>
  </si>
  <si>
    <t>Side</t>
  </si>
  <si>
    <t>Trade Identifier</t>
  </si>
  <si>
    <t>Units</t>
  </si>
  <si>
    <t>Avg. Price</t>
  </si>
  <si>
    <t>Value</t>
  </si>
  <si>
    <t>Fees</t>
  </si>
  <si>
    <t>GST</t>
  </si>
  <si>
    <t>2022-10-27</t>
  </si>
  <si>
    <t>2022-10-31</t>
  </si>
  <si>
    <t>IVV - iShares S&amp;P 500 ETF</t>
  </si>
  <si>
    <t>Buy</t>
  </si>
  <si>
    <t>2179376</t>
  </si>
  <si>
    <t>AUD</t>
  </si>
  <si>
    <t>2022-10-28</t>
  </si>
  <si>
    <t>2022-11-01</t>
  </si>
  <si>
    <t>2183483</t>
  </si>
  <si>
    <t>2022-11-03</t>
  </si>
  <si>
    <t>2022-11-07</t>
  </si>
  <si>
    <t>2205119</t>
  </si>
  <si>
    <t>2205122</t>
  </si>
  <si>
    <t>2022-12-19</t>
  </si>
  <si>
    <t>2022-12-21</t>
  </si>
  <si>
    <t>2377401</t>
  </si>
  <si>
    <t>2022-12-20</t>
  </si>
  <si>
    <t>2022-12-22</t>
  </si>
  <si>
    <t>2383963</t>
  </si>
  <si>
    <t>2023-01-25</t>
  </si>
  <si>
    <t>2023-01-30</t>
  </si>
  <si>
    <t>2495644</t>
  </si>
  <si>
    <t>2023-02-22</t>
  </si>
  <si>
    <t>2023-02-24</t>
  </si>
  <si>
    <t>2598788</t>
  </si>
  <si>
    <t>2598812</t>
  </si>
  <si>
    <t>2023-03-02</t>
  </si>
  <si>
    <t>2023-03-06</t>
  </si>
  <si>
    <t>2629642</t>
  </si>
  <si>
    <t>2023-05-05</t>
  </si>
  <si>
    <t>2023-05-09</t>
  </si>
  <si>
    <t>2849168</t>
  </si>
  <si>
    <t>2023-06-08</t>
  </si>
  <si>
    <t>2023-06-13</t>
  </si>
  <si>
    <t>2972219</t>
  </si>
  <si>
    <t>2023-06-27</t>
  </si>
  <si>
    <t>2023-06-29</t>
  </si>
  <si>
    <t>3037408</t>
  </si>
  <si>
    <t>2023-09-06</t>
  </si>
  <si>
    <t>2023-09-08</t>
  </si>
  <si>
    <t>3321054</t>
  </si>
  <si>
    <t>2023-09-07</t>
  </si>
  <si>
    <t>2023-09-11</t>
  </si>
  <si>
    <t>3323722</t>
  </si>
  <si>
    <t>2023-09-20</t>
  </si>
  <si>
    <t>2023-09-22</t>
  </si>
  <si>
    <t>3366097</t>
  </si>
  <si>
    <t>2023-09-21</t>
  </si>
  <si>
    <t>2023-09-25</t>
  </si>
  <si>
    <t>3371265</t>
  </si>
  <si>
    <t>2023-10-04</t>
  </si>
  <si>
    <t>2023-10-06</t>
  </si>
  <si>
    <t>3417593</t>
  </si>
  <si>
    <t>2023-10-16</t>
  </si>
  <si>
    <t>2023-10-18</t>
  </si>
  <si>
    <t>3452413</t>
  </si>
  <si>
    <t>2023-10-19</t>
  </si>
  <si>
    <t>2023-10-23</t>
  </si>
  <si>
    <t>3467862</t>
  </si>
  <si>
    <t>2023-11-20</t>
  </si>
  <si>
    <t>2023-11-22</t>
  </si>
  <si>
    <t>3578837</t>
  </si>
  <si>
    <t>2024-02-01</t>
  </si>
  <si>
    <t>2024-02-05</t>
  </si>
  <si>
    <t>3835832</t>
  </si>
  <si>
    <t>2024-03-20</t>
  </si>
  <si>
    <t>2024-03-22</t>
  </si>
  <si>
    <t>4049952</t>
  </si>
  <si>
    <t>2024-04-18</t>
  </si>
  <si>
    <t>2024-04-22</t>
  </si>
  <si>
    <t>4163032</t>
  </si>
  <si>
    <t>2024-05-02</t>
  </si>
  <si>
    <t>2024-05-06</t>
  </si>
  <si>
    <t>4210819</t>
  </si>
  <si>
    <t>4213075</t>
  </si>
  <si>
    <t>2024-07-22</t>
  </si>
  <si>
    <t>2024-07-24</t>
  </si>
  <si>
    <t>184127975</t>
  </si>
  <si>
    <t>2024-08-08</t>
  </si>
  <si>
    <t>2024-08-12</t>
  </si>
  <si>
    <t>185873712</t>
  </si>
  <si>
    <t>2024-09-23</t>
  </si>
  <si>
    <t>2024-09-25</t>
  </si>
  <si>
    <t>190701853</t>
  </si>
  <si>
    <t>2024-10-31</t>
  </si>
  <si>
    <t>2024-11-04</t>
  </si>
  <si>
    <t>194674578</t>
  </si>
  <si>
    <t>2024-12-12</t>
  </si>
  <si>
    <t>2024-12-16</t>
  </si>
  <si>
    <t>199331415</t>
  </si>
  <si>
    <t>2024-12-20</t>
  </si>
  <si>
    <t>2024-12-24</t>
  </si>
  <si>
    <t>200166857</t>
  </si>
  <si>
    <t>2025-01-21</t>
  </si>
  <si>
    <t>2025-01-23</t>
  </si>
  <si>
    <t>Sell</t>
  </si>
  <si>
    <t>201781128</t>
  </si>
  <si>
    <t>2025-03-12</t>
  </si>
  <si>
    <t>2025-03-14</t>
  </si>
  <si>
    <t>207336618</t>
  </si>
  <si>
    <t>2025-05-29</t>
  </si>
  <si>
    <t>2025-06-02</t>
  </si>
  <si>
    <t>216265860</t>
  </si>
  <si>
    <t>2025-07-29</t>
  </si>
  <si>
    <t>2025-07-25</t>
  </si>
  <si>
    <t>223353191</t>
  </si>
  <si>
    <t>2025-09-11</t>
  </si>
  <si>
    <t>2025-09-15</t>
  </si>
  <si>
    <t>230342575</t>
  </si>
  <si>
    <t>AUD/USD rate</t>
  </si>
  <si>
    <t>Full Name</t>
  </si>
  <si>
    <t>DOB</t>
  </si>
  <si>
    <t>Cash</t>
  </si>
  <si>
    <t xml:space="preserve">Super </t>
  </si>
  <si>
    <t>Computer</t>
  </si>
  <si>
    <t>Test Test</t>
  </si>
  <si>
    <t>Nexus Data</t>
  </si>
  <si>
    <t>Jr Analyst</t>
  </si>
  <si>
    <t>Part-time</t>
  </si>
  <si>
    <t>Balanced with uni study</t>
  </si>
  <si>
    <t>Orion Tech</t>
  </si>
  <si>
    <t>Dev Intern</t>
  </si>
  <si>
    <t>Overlapped with Job 1 for 1 month</t>
  </si>
  <si>
    <t>Stratos Global</t>
  </si>
  <si>
    <t>Associate</t>
  </si>
  <si>
    <t>Full-Time</t>
  </si>
  <si>
    <t>Grad role, started after 2-month break</t>
  </si>
  <si>
    <t>Stocks - Stake US - PLTR</t>
  </si>
  <si>
    <t>Stocks - Stake US - AAPL</t>
  </si>
  <si>
    <t>PLTR - Palantir Technologies Inc</t>
  </si>
  <si>
    <t>USD</t>
  </si>
  <si>
    <t>AAPL - Apple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</si>
</sst>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name val="Aptos Narrow"/>
      <family val="2"/>
      <scheme val="minor"/>
    </font>
    <font>
      <sz val="11"/>
      <name val="Calibri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7" fontId="0" fillId="0" borderId="0" xfId="0" applyNumberFormat="1"/>
    <xf numFmtId="0" fontId="2" fillId="0" borderId="0" xfId="0" applyFont="1"/>
    <xf numFmtId="14" fontId="0" fillId="0" borderId="0" xfId="0" applyNumberFormat="1"/>
    <xf numFmtId="17" fontId="3" fillId="0" borderId="0" xfId="0" applyNumberFormat="1" applyFont="1"/>
    <xf numFmtId="0" fontId="3" fillId="0" borderId="0" xfId="0" applyFont="1"/>
    <xf numFmtId="6" fontId="4" fillId="0" borderId="0" xfId="0" applyNumberFormat="1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B22A-0150-A349-B9B8-2DD836872107}">
  <dimension ref="A1:B3"/>
  <sheetViews>
    <sheetView zoomScale="150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141</v>
      </c>
      <c r="B1" t="s">
        <v>146</v>
      </c>
    </row>
    <row r="2" spans="1:2" x14ac:dyDescent="0.2">
      <c r="A2" t="s">
        <v>142</v>
      </c>
      <c r="B2" s="4">
        <v>36526</v>
      </c>
    </row>
    <row r="3" spans="1:2" x14ac:dyDescent="0.2">
      <c r="A3" t="s">
        <v>18</v>
      </c>
      <c r="B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5579-59C6-0B41-BF17-D7BBFCC0EBE3}">
  <dimension ref="A1:DB27"/>
  <sheetViews>
    <sheetView tabSelected="1" zoomScale="125" workbookViewId="0">
      <selection activeCell="I20" sqref="I20"/>
    </sheetView>
  </sheetViews>
  <sheetFormatPr baseColWidth="10" defaultRowHeight="16" x14ac:dyDescent="0.2"/>
  <cols>
    <col min="1" max="1" width="29.6640625" bestFit="1" customWidth="1"/>
  </cols>
  <sheetData>
    <row r="1" spans="1:106" x14ac:dyDescent="0.2">
      <c r="A1" s="1" t="s">
        <v>0</v>
      </c>
      <c r="B1" s="2">
        <v>45200</v>
      </c>
      <c r="C1" s="2">
        <v>45292</v>
      </c>
      <c r="D1" s="2">
        <v>45383</v>
      </c>
      <c r="E1" s="2">
        <v>45474</v>
      </c>
      <c r="F1" s="2">
        <v>45566</v>
      </c>
      <c r="G1" s="2">
        <v>45658</v>
      </c>
      <c r="H1" s="2">
        <v>45748</v>
      </c>
      <c r="I1" s="2">
        <v>45839</v>
      </c>
      <c r="J1" s="2">
        <v>45931</v>
      </c>
      <c r="K1" s="2">
        <v>46023</v>
      </c>
      <c r="L1" s="2">
        <v>46113</v>
      </c>
      <c r="M1" s="2">
        <v>46204</v>
      </c>
      <c r="N1" s="2">
        <v>46296</v>
      </c>
      <c r="O1" s="2">
        <v>46388</v>
      </c>
      <c r="P1" s="2">
        <v>46478</v>
      </c>
      <c r="Q1" s="2">
        <v>46569</v>
      </c>
      <c r="R1" s="2">
        <v>46661</v>
      </c>
      <c r="S1" s="2">
        <v>46753</v>
      </c>
      <c r="T1" s="2">
        <v>46844</v>
      </c>
      <c r="U1" s="2">
        <v>46935</v>
      </c>
      <c r="V1" s="2">
        <v>47027</v>
      </c>
      <c r="W1" s="2">
        <v>47119</v>
      </c>
      <c r="X1" s="2">
        <v>47209</v>
      </c>
      <c r="Y1" s="2">
        <v>47300</v>
      </c>
      <c r="Z1" s="2">
        <v>47392</v>
      </c>
      <c r="AA1" s="2">
        <v>47484</v>
      </c>
      <c r="AB1" s="2">
        <v>47574</v>
      </c>
      <c r="AC1" s="2">
        <v>47665</v>
      </c>
      <c r="AD1" s="2">
        <v>47757</v>
      </c>
      <c r="AE1" s="2">
        <v>47849</v>
      </c>
      <c r="AF1" s="2">
        <v>47939</v>
      </c>
      <c r="AG1" s="2">
        <v>48030</v>
      </c>
      <c r="AH1" s="2">
        <v>48122</v>
      </c>
      <c r="AI1" s="2">
        <v>48214</v>
      </c>
      <c r="AJ1" s="2">
        <v>48305</v>
      </c>
      <c r="AK1" s="2">
        <v>48396</v>
      </c>
      <c r="AL1" s="2">
        <v>48488</v>
      </c>
      <c r="AM1" s="2">
        <v>48580</v>
      </c>
      <c r="AN1" s="2">
        <v>48670</v>
      </c>
      <c r="AO1" s="2">
        <v>48761</v>
      </c>
      <c r="AP1" s="2">
        <v>48853</v>
      </c>
      <c r="AQ1" s="2">
        <v>48945</v>
      </c>
      <c r="AR1" s="2">
        <v>49035</v>
      </c>
      <c r="AS1" s="2">
        <v>49126</v>
      </c>
      <c r="AT1" s="2">
        <v>49218</v>
      </c>
      <c r="AU1" s="2">
        <v>49310</v>
      </c>
      <c r="AV1" s="2">
        <v>49400</v>
      </c>
      <c r="AW1" s="2">
        <v>49491</v>
      </c>
      <c r="AX1" s="2">
        <v>49583</v>
      </c>
      <c r="AY1" s="2">
        <v>49675</v>
      </c>
      <c r="AZ1" s="2">
        <v>49766</v>
      </c>
      <c r="BA1" s="2">
        <v>49857</v>
      </c>
      <c r="BB1" s="2">
        <v>49949</v>
      </c>
      <c r="BC1" s="2">
        <v>50041</v>
      </c>
      <c r="BD1" s="2">
        <v>50131</v>
      </c>
      <c r="BE1" s="2">
        <v>50222</v>
      </c>
      <c r="BF1" s="2">
        <v>50314</v>
      </c>
      <c r="BG1" s="2">
        <v>50406</v>
      </c>
      <c r="BH1" s="2">
        <v>50496</v>
      </c>
      <c r="BI1" s="2">
        <v>50587</v>
      </c>
      <c r="BJ1" s="2">
        <v>50679</v>
      </c>
      <c r="BK1" s="2">
        <v>50771</v>
      </c>
      <c r="BL1" s="2">
        <v>50861</v>
      </c>
      <c r="BM1" s="2">
        <v>50952</v>
      </c>
      <c r="BN1" s="2">
        <v>51044</v>
      </c>
      <c r="BO1" s="2">
        <v>51136</v>
      </c>
      <c r="BP1" s="2">
        <v>51227</v>
      </c>
      <c r="BQ1" s="2">
        <v>51318</v>
      </c>
      <c r="BR1" s="2">
        <v>51410</v>
      </c>
      <c r="BS1" s="2">
        <v>51502</v>
      </c>
      <c r="BT1" s="2">
        <v>51592</v>
      </c>
      <c r="BU1" s="2">
        <v>51683</v>
      </c>
      <c r="BV1" s="2">
        <v>51775</v>
      </c>
      <c r="BW1" s="2">
        <v>51867</v>
      </c>
      <c r="BX1" s="2">
        <v>51957</v>
      </c>
      <c r="BY1" s="2">
        <v>52048</v>
      </c>
      <c r="BZ1" s="2">
        <v>52140</v>
      </c>
      <c r="CA1" s="2">
        <v>52232</v>
      </c>
      <c r="CB1" s="2">
        <v>52322</v>
      </c>
      <c r="CC1" s="2">
        <v>52413</v>
      </c>
      <c r="CD1" s="2">
        <v>52505</v>
      </c>
      <c r="CE1" s="2">
        <v>52597</v>
      </c>
      <c r="CF1" s="2">
        <v>52688</v>
      </c>
      <c r="CG1" s="2">
        <v>52779</v>
      </c>
      <c r="CH1" s="2">
        <v>52871</v>
      </c>
      <c r="CI1" s="2">
        <v>52963</v>
      </c>
      <c r="CJ1" s="2">
        <v>53053</v>
      </c>
      <c r="CK1" s="2">
        <v>53144</v>
      </c>
      <c r="CL1" s="2">
        <v>53236</v>
      </c>
      <c r="CM1" s="2">
        <v>53328</v>
      </c>
      <c r="CN1" s="2">
        <v>53418</v>
      </c>
      <c r="CO1" s="2">
        <v>53509</v>
      </c>
      <c r="CP1" s="2">
        <v>53601</v>
      </c>
      <c r="CQ1" s="2">
        <v>53693</v>
      </c>
      <c r="CR1" s="2">
        <v>53783</v>
      </c>
      <c r="CS1" s="2">
        <v>53874</v>
      </c>
      <c r="CT1" s="2">
        <v>53966</v>
      </c>
      <c r="CU1" s="2">
        <v>54058</v>
      </c>
      <c r="CV1" s="2">
        <v>54149</v>
      </c>
      <c r="CW1" s="2">
        <v>54240</v>
      </c>
      <c r="CX1" s="2">
        <v>54332</v>
      </c>
      <c r="CY1" s="2">
        <v>54424</v>
      </c>
      <c r="CZ1" s="2">
        <v>54514</v>
      </c>
      <c r="DA1" s="2">
        <v>54605</v>
      </c>
      <c r="DB1" s="2">
        <v>54697</v>
      </c>
    </row>
    <row r="2" spans="1:106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06" x14ac:dyDescent="0.2">
      <c r="A3" s="1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1:106" x14ac:dyDescent="0.2">
      <c r="A4" s="3" t="s">
        <v>6</v>
      </c>
      <c r="B4" s="7">
        <v>12672.000000000002</v>
      </c>
      <c r="C4" s="7">
        <v>17122.3</v>
      </c>
      <c r="D4" s="7">
        <v>15805.199999999999</v>
      </c>
      <c r="E4" s="7">
        <v>17587.2</v>
      </c>
      <c r="F4" s="7">
        <v>18331.3</v>
      </c>
      <c r="G4" s="7">
        <v>26370.5</v>
      </c>
      <c r="H4" s="7">
        <v>24342</v>
      </c>
      <c r="I4" s="7">
        <v>28257.9</v>
      </c>
      <c r="J4" s="7">
        <v>37515.5</v>
      </c>
      <c r="K4" s="7">
        <v>41473.599999999999</v>
      </c>
      <c r="L4" s="5"/>
      <c r="M4" s="5"/>
      <c r="N4" s="5"/>
      <c r="O4" s="5"/>
      <c r="P4" s="5"/>
      <c r="Q4" s="5"/>
      <c r="R4" s="5"/>
      <c r="S4" s="5"/>
      <c r="T4" s="6"/>
    </row>
    <row r="5" spans="1:106" x14ac:dyDescent="0.2">
      <c r="A5" s="1"/>
      <c r="B5" s="5"/>
      <c r="C5" s="5"/>
      <c r="D5" s="5"/>
      <c r="E5" s="5"/>
      <c r="F5" s="5"/>
      <c r="G5" s="5"/>
      <c r="H5" s="5"/>
      <c r="I5" s="5"/>
      <c r="J5" s="6"/>
    </row>
    <row r="6" spans="1:106" x14ac:dyDescent="0.2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</row>
    <row r="7" spans="1:106" x14ac:dyDescent="0.2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1:106" x14ac:dyDescent="0.2">
      <c r="A8" s="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1:106" x14ac:dyDescent="0.2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1:106" x14ac:dyDescent="0.2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</row>
    <row r="11" spans="1:106" x14ac:dyDescent="0.2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1:106" x14ac:dyDescent="0.2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</row>
    <row r="13" spans="1:106" x14ac:dyDescent="0.2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</row>
    <row r="14" spans="1:106" x14ac:dyDescent="0.2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</row>
    <row r="15" spans="1:106" x14ac:dyDescent="0.2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106" x14ac:dyDescent="0.2">
      <c r="A16" s="1" t="s">
        <v>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">
      <c r="A17" t="s">
        <v>143</v>
      </c>
      <c r="B17" s="7">
        <v>3071.34</v>
      </c>
      <c r="C17" s="7">
        <v>5446.26</v>
      </c>
      <c r="D17" s="7">
        <v>3263.16</v>
      </c>
      <c r="E17" s="7">
        <v>3757.6</v>
      </c>
      <c r="F17" s="7">
        <v>1418.1999999999998</v>
      </c>
      <c r="G17" s="7">
        <v>1584.1</v>
      </c>
      <c r="H17" s="7">
        <v>1572.42</v>
      </c>
      <c r="I17" s="7">
        <v>708.07</v>
      </c>
      <c r="J17" s="7">
        <v>7374.12</v>
      </c>
      <c r="K17" s="7">
        <v>5705.7</v>
      </c>
      <c r="L17" s="8"/>
      <c r="M17" s="8"/>
      <c r="N17" s="8"/>
      <c r="O17" s="8"/>
      <c r="P17" s="8"/>
      <c r="Q17" s="8"/>
      <c r="R17" s="8"/>
      <c r="S17" s="8"/>
      <c r="T17" s="6"/>
    </row>
    <row r="18" spans="1:20" x14ac:dyDescent="0.2">
      <c r="A18" t="s">
        <v>144</v>
      </c>
      <c r="B18" s="7">
        <v>4795.34</v>
      </c>
      <c r="C18" s="7">
        <v>6652.8</v>
      </c>
      <c r="D18" s="7">
        <v>6872.01</v>
      </c>
      <c r="E18" s="7">
        <v>8615.18</v>
      </c>
      <c r="F18" s="7">
        <v>10064.34</v>
      </c>
      <c r="G18" s="7">
        <v>11388.09</v>
      </c>
      <c r="H18" s="7">
        <v>13047.32</v>
      </c>
      <c r="I18" s="7">
        <v>15397.92</v>
      </c>
      <c r="J18" s="7">
        <v>17170.5</v>
      </c>
      <c r="K18" s="7">
        <v>19722.36</v>
      </c>
      <c r="L18" s="8"/>
      <c r="M18" s="8"/>
      <c r="N18" s="8"/>
      <c r="O18" s="8"/>
      <c r="P18" s="8"/>
      <c r="Q18" s="8"/>
      <c r="R18" s="8"/>
      <c r="S18" s="8"/>
      <c r="T18" s="6"/>
    </row>
    <row r="19" spans="1:20" x14ac:dyDescent="0.2">
      <c r="A19" t="s">
        <v>145</v>
      </c>
      <c r="B19" s="7">
        <v>1580</v>
      </c>
      <c r="C19" s="7">
        <v>1356.25</v>
      </c>
      <c r="D19" s="7">
        <v>1200</v>
      </c>
      <c r="E19" s="7">
        <v>950</v>
      </c>
      <c r="F19" s="7">
        <v>765</v>
      </c>
      <c r="G19" s="7">
        <v>532.5</v>
      </c>
      <c r="H19" s="7">
        <v>367.5</v>
      </c>
      <c r="I19" s="7">
        <v>178.75</v>
      </c>
      <c r="O19" s="8"/>
      <c r="P19" s="8"/>
      <c r="Q19" s="8"/>
      <c r="R19" s="8"/>
      <c r="S19" s="8"/>
      <c r="T19" s="6"/>
    </row>
    <row r="20" spans="1:20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8"/>
      <c r="Q20" s="8"/>
      <c r="R20" s="8"/>
      <c r="S20" s="8"/>
      <c r="T20" s="6"/>
    </row>
    <row r="21" spans="1:20" x14ac:dyDescent="0.2">
      <c r="A21" t="s">
        <v>2</v>
      </c>
      <c r="B21" s="7">
        <v>1192</v>
      </c>
      <c r="C21" s="7">
        <v>560</v>
      </c>
      <c r="D21" s="7">
        <v>468</v>
      </c>
      <c r="E21" s="7">
        <v>318</v>
      </c>
      <c r="F21" s="7">
        <v>147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6"/>
    </row>
    <row r="22" spans="1:20" x14ac:dyDescent="0.2">
      <c r="A22" t="s">
        <v>3</v>
      </c>
      <c r="B22" s="8"/>
      <c r="C22" s="8"/>
      <c r="D22" s="8"/>
      <c r="E22" s="7">
        <v>616</v>
      </c>
      <c r="F22" s="7">
        <v>489.99999999999994</v>
      </c>
      <c r="G22" s="7">
        <v>474</v>
      </c>
      <c r="H22" s="7">
        <v>350</v>
      </c>
      <c r="I22" s="7">
        <v>318</v>
      </c>
      <c r="J22" s="7">
        <v>234</v>
      </c>
      <c r="K22" s="7">
        <v>160</v>
      </c>
      <c r="L22" s="7">
        <v>73.5</v>
      </c>
      <c r="M22" s="8"/>
      <c r="N22" s="8"/>
      <c r="O22" s="8"/>
      <c r="P22" s="8"/>
      <c r="Q22" s="8"/>
      <c r="R22" s="8"/>
      <c r="S22" s="8"/>
      <c r="T22" s="6"/>
    </row>
    <row r="23" spans="1:20" x14ac:dyDescent="0.2">
      <c r="A23" t="s">
        <v>4</v>
      </c>
      <c r="B23" s="8"/>
      <c r="C23" s="8"/>
      <c r="D23" s="8"/>
      <c r="E23" s="7">
        <v>1015</v>
      </c>
      <c r="F23" s="7">
        <v>1001.52</v>
      </c>
      <c r="G23" s="7">
        <v>915.31000000000006</v>
      </c>
      <c r="H23" s="7">
        <v>771.75</v>
      </c>
      <c r="I23" s="7">
        <v>714.51</v>
      </c>
      <c r="J23" s="7">
        <v>599.76</v>
      </c>
      <c r="K23" s="7">
        <v>489.99999999999994</v>
      </c>
      <c r="L23" s="7">
        <v>461.36</v>
      </c>
      <c r="M23" s="7">
        <v>335.52</v>
      </c>
      <c r="N23" s="7">
        <v>253.75</v>
      </c>
      <c r="O23" s="7">
        <v>176.67</v>
      </c>
      <c r="P23" s="7">
        <v>91.06</v>
      </c>
      <c r="Q23" s="8"/>
      <c r="R23" s="8"/>
      <c r="S23" s="8"/>
      <c r="T23" s="6"/>
    </row>
    <row r="24" spans="1:20" x14ac:dyDescent="0.2">
      <c r="A24" t="s">
        <v>5</v>
      </c>
      <c r="B24" s="8"/>
      <c r="C24" s="8"/>
      <c r="D24" s="8"/>
      <c r="E24" s="8"/>
      <c r="F24" s="8"/>
      <c r="G24" s="7">
        <v>4588.74</v>
      </c>
      <c r="H24" s="7">
        <v>3704.3999999999996</v>
      </c>
      <c r="I24" s="7">
        <v>3535.35</v>
      </c>
      <c r="J24" s="7">
        <v>3139.25</v>
      </c>
      <c r="K24" s="7">
        <v>2712.8399999999997</v>
      </c>
      <c r="L24" s="7">
        <v>2424.96</v>
      </c>
      <c r="M24" s="7">
        <v>2193.36</v>
      </c>
      <c r="N24" s="7">
        <v>1792.47</v>
      </c>
      <c r="O24" s="7">
        <v>1539.2</v>
      </c>
      <c r="P24" s="7">
        <v>1126.32</v>
      </c>
      <c r="Q24" s="7">
        <v>759.98</v>
      </c>
      <c r="R24" s="7">
        <v>359.09</v>
      </c>
      <c r="S24" s="7"/>
      <c r="T24" s="6"/>
    </row>
    <row r="25" spans="1:20" x14ac:dyDescent="0.2">
      <c r="A25" t="s">
        <v>20</v>
      </c>
      <c r="B25" s="7">
        <v>44501.556000000004</v>
      </c>
      <c r="C25" s="7">
        <v>43005.600000000006</v>
      </c>
      <c r="D25" s="7">
        <v>54009.802000000003</v>
      </c>
      <c r="E25" s="7">
        <v>55204.204000000005</v>
      </c>
      <c r="F25" s="7">
        <v>67392.369000000006</v>
      </c>
      <c r="G25" s="7">
        <v>90837.362000000008</v>
      </c>
      <c r="H25" s="7">
        <v>80420.450000000012</v>
      </c>
      <c r="I25" s="7">
        <v>88338.987000000008</v>
      </c>
      <c r="J25" s="7">
        <v>115046.976</v>
      </c>
      <c r="K25" s="7">
        <v>120393.79000000001</v>
      </c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2">
      <c r="A26" t="s">
        <v>158</v>
      </c>
      <c r="B26" s="6"/>
      <c r="C26" s="6"/>
      <c r="D26" s="6"/>
      <c r="E26" s="6"/>
      <c r="F26" s="6"/>
      <c r="G26" s="6"/>
      <c r="H26" s="6"/>
      <c r="I26" s="7">
        <v>4000</v>
      </c>
      <c r="J26" s="7">
        <v>4210</v>
      </c>
      <c r="K26" s="7">
        <v>5911</v>
      </c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">
      <c r="A27" t="s">
        <v>159</v>
      </c>
      <c r="B27" s="6"/>
      <c r="C27" s="6"/>
      <c r="D27" s="6"/>
      <c r="E27" s="6"/>
      <c r="F27" s="6"/>
      <c r="G27" s="6"/>
      <c r="H27" s="6"/>
      <c r="I27" s="7"/>
      <c r="J27" s="7">
        <v>980</v>
      </c>
      <c r="K27" s="7">
        <v>1247</v>
      </c>
      <c r="L27" s="6"/>
      <c r="M27" s="6"/>
      <c r="N27" s="6"/>
      <c r="O27" s="6"/>
      <c r="P27" s="6"/>
      <c r="Q27" s="6"/>
      <c r="R27" s="6"/>
      <c r="S27" s="6"/>
      <c r="T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0EC2-13BE-1946-9F2B-506C09A98C15}">
  <dimension ref="A1:J4"/>
  <sheetViews>
    <sheetView zoomScale="187" workbookViewId="0">
      <selection activeCell="E11" sqref="E11"/>
    </sheetView>
  </sheetViews>
  <sheetFormatPr baseColWidth="10" defaultRowHeight="16" x14ac:dyDescent="0.2"/>
  <cols>
    <col min="1" max="10" width="10.83203125" customWidth="1"/>
  </cols>
  <sheetData>
    <row r="1" spans="1:10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14</v>
      </c>
      <c r="G1" s="1" t="s">
        <v>15</v>
      </c>
      <c r="H1" s="1" t="s">
        <v>12</v>
      </c>
      <c r="I1" s="1" t="s">
        <v>16</v>
      </c>
      <c r="J1" s="1" t="s">
        <v>13</v>
      </c>
    </row>
    <row r="2" spans="1:10" x14ac:dyDescent="0.2">
      <c r="A2" s="9">
        <v>44571</v>
      </c>
      <c r="B2" s="9">
        <v>45280</v>
      </c>
      <c r="C2" s="10" t="s">
        <v>147</v>
      </c>
      <c r="D2" s="10" t="s">
        <v>148</v>
      </c>
      <c r="E2" s="10" t="s">
        <v>149</v>
      </c>
      <c r="F2" s="11">
        <v>52000</v>
      </c>
      <c r="G2" s="11">
        <v>5460</v>
      </c>
      <c r="H2" s="11">
        <v>0</v>
      </c>
      <c r="I2" s="11">
        <v>57460</v>
      </c>
      <c r="J2" s="10" t="s">
        <v>150</v>
      </c>
    </row>
    <row r="3" spans="1:10" x14ac:dyDescent="0.2">
      <c r="A3" s="9">
        <v>45231</v>
      </c>
      <c r="B3" s="9">
        <v>45626</v>
      </c>
      <c r="C3" s="10" t="s">
        <v>151</v>
      </c>
      <c r="D3" s="10" t="s">
        <v>152</v>
      </c>
      <c r="E3" s="10" t="s">
        <v>156</v>
      </c>
      <c r="F3" s="11">
        <v>68000</v>
      </c>
      <c r="G3" s="11">
        <v>7480</v>
      </c>
      <c r="H3" s="11">
        <v>2000</v>
      </c>
      <c r="I3" s="11">
        <v>77480</v>
      </c>
      <c r="J3" s="10" t="s">
        <v>153</v>
      </c>
    </row>
    <row r="4" spans="1:10" x14ac:dyDescent="0.2">
      <c r="A4" s="9">
        <v>45689</v>
      </c>
      <c r="B4" s="9">
        <v>46022</v>
      </c>
      <c r="C4" s="10" t="s">
        <v>154</v>
      </c>
      <c r="D4" s="10" t="s">
        <v>155</v>
      </c>
      <c r="E4" s="10" t="s">
        <v>156</v>
      </c>
      <c r="F4" s="11">
        <v>90000</v>
      </c>
      <c r="G4" s="11">
        <v>10350</v>
      </c>
      <c r="H4" s="11">
        <v>5000</v>
      </c>
      <c r="I4" s="11">
        <v>105350</v>
      </c>
      <c r="J4" s="10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EAE4-496C-DE4A-87B4-2DEC851B06F5}">
  <dimension ref="A1:M42"/>
  <sheetViews>
    <sheetView topLeftCell="A31" zoomScale="157" workbookViewId="0">
      <selection activeCell="K54" sqref="K54"/>
    </sheetView>
  </sheetViews>
  <sheetFormatPr baseColWidth="10" defaultRowHeight="16" x14ac:dyDescent="0.2"/>
  <sheetData>
    <row r="1" spans="1:13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19</v>
      </c>
      <c r="L1" t="s">
        <v>18</v>
      </c>
      <c r="M1" t="s">
        <v>140</v>
      </c>
    </row>
    <row r="2" spans="1:13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6</v>
      </c>
      <c r="G2">
        <v>592</v>
      </c>
      <c r="H2">
        <f>PRODUCT(F2:G2)</f>
        <v>3552</v>
      </c>
      <c r="I2">
        <v>2.8938000000000001</v>
      </c>
      <c r="J2">
        <v>0.30240000000000006</v>
      </c>
      <c r="K2">
        <f>SUM(H2:J2)</f>
        <v>3555.1961999999999</v>
      </c>
      <c r="L2" t="s">
        <v>36</v>
      </c>
    </row>
    <row r="3" spans="1:13" x14ac:dyDescent="0.2">
      <c r="A3" t="s">
        <v>37</v>
      </c>
      <c r="B3" t="s">
        <v>38</v>
      </c>
      <c r="C3" t="s">
        <v>33</v>
      </c>
      <c r="D3" t="s">
        <v>34</v>
      </c>
      <c r="E3" t="s">
        <v>39</v>
      </c>
      <c r="F3">
        <v>7</v>
      </c>
      <c r="G3">
        <v>587.04</v>
      </c>
      <c r="H3">
        <f t="shared" ref="H3:H42" si="0">PRODUCT(F3:G3)</f>
        <v>4109.28</v>
      </c>
      <c r="I3">
        <v>2.1658000000000004</v>
      </c>
      <c r="J3">
        <v>0.189</v>
      </c>
      <c r="K3">
        <f t="shared" ref="K3:K39" si="1">SUM(H3:J3)</f>
        <v>4111.6347999999998</v>
      </c>
      <c r="L3" t="s">
        <v>36</v>
      </c>
    </row>
    <row r="4" spans="1:13" x14ac:dyDescent="0.2">
      <c r="A4" t="s">
        <v>40</v>
      </c>
      <c r="B4" t="s">
        <v>41</v>
      </c>
      <c r="C4" t="s">
        <v>33</v>
      </c>
      <c r="D4" t="s">
        <v>34</v>
      </c>
      <c r="E4" t="s">
        <v>42</v>
      </c>
      <c r="F4">
        <v>12</v>
      </c>
      <c r="G4">
        <v>591.49</v>
      </c>
      <c r="H4">
        <f t="shared" si="0"/>
        <v>7097.88</v>
      </c>
      <c r="I4">
        <v>2.0384000000000002</v>
      </c>
      <c r="J4">
        <v>0.20520000000000002</v>
      </c>
      <c r="K4">
        <f t="shared" si="1"/>
        <v>7100.1236000000008</v>
      </c>
      <c r="L4" t="s">
        <v>36</v>
      </c>
    </row>
    <row r="5" spans="1:13" x14ac:dyDescent="0.2">
      <c r="A5" t="s">
        <v>40</v>
      </c>
      <c r="B5" t="s">
        <v>41</v>
      </c>
      <c r="C5" t="s">
        <v>33</v>
      </c>
      <c r="D5" t="s">
        <v>34</v>
      </c>
      <c r="E5" t="s">
        <v>43</v>
      </c>
      <c r="F5">
        <v>6</v>
      </c>
      <c r="G5">
        <v>591.49</v>
      </c>
      <c r="H5">
        <f t="shared" si="0"/>
        <v>3548.94</v>
      </c>
      <c r="I5">
        <v>3.0849000000000002</v>
      </c>
      <c r="J5">
        <v>0.31050000000000005</v>
      </c>
      <c r="K5">
        <f t="shared" si="1"/>
        <v>3552.3353999999999</v>
      </c>
      <c r="L5" t="s">
        <v>36</v>
      </c>
    </row>
    <row r="6" spans="1:13" x14ac:dyDescent="0.2">
      <c r="A6" t="s">
        <v>44</v>
      </c>
      <c r="B6" t="s">
        <v>45</v>
      </c>
      <c r="C6" t="s">
        <v>33</v>
      </c>
      <c r="D6" t="s">
        <v>34</v>
      </c>
      <c r="E6" t="s">
        <v>46</v>
      </c>
      <c r="F6">
        <v>58</v>
      </c>
      <c r="G6">
        <v>38.39</v>
      </c>
      <c r="H6">
        <f t="shared" si="0"/>
        <v>2226.62</v>
      </c>
      <c r="I6">
        <v>0</v>
      </c>
      <c r="J6">
        <v>0</v>
      </c>
      <c r="K6">
        <f t="shared" si="1"/>
        <v>2226.62</v>
      </c>
      <c r="L6" t="s">
        <v>36</v>
      </c>
    </row>
    <row r="7" spans="1:13" x14ac:dyDescent="0.2">
      <c r="A7" t="s">
        <v>47</v>
      </c>
      <c r="B7" t="s">
        <v>48</v>
      </c>
      <c r="C7" t="s">
        <v>33</v>
      </c>
      <c r="D7" t="s">
        <v>34</v>
      </c>
      <c r="E7" t="s">
        <v>49</v>
      </c>
      <c r="F7">
        <v>41</v>
      </c>
      <c r="G7">
        <v>38</v>
      </c>
      <c r="H7">
        <f t="shared" si="0"/>
        <v>1558</v>
      </c>
      <c r="I7">
        <v>0</v>
      </c>
      <c r="J7">
        <v>0</v>
      </c>
      <c r="K7">
        <f t="shared" si="1"/>
        <v>1558</v>
      </c>
      <c r="L7" t="s">
        <v>36</v>
      </c>
    </row>
    <row r="8" spans="1:13" x14ac:dyDescent="0.2">
      <c r="A8" t="s">
        <v>50</v>
      </c>
      <c r="B8" t="s">
        <v>51</v>
      </c>
      <c r="C8" t="s">
        <v>33</v>
      </c>
      <c r="D8" t="s">
        <v>34</v>
      </c>
      <c r="E8" t="s">
        <v>52</v>
      </c>
      <c r="F8">
        <v>40</v>
      </c>
      <c r="G8">
        <v>37.799999999999997</v>
      </c>
      <c r="H8">
        <f t="shared" si="0"/>
        <v>1512</v>
      </c>
      <c r="I8">
        <v>0</v>
      </c>
      <c r="J8">
        <v>0</v>
      </c>
      <c r="K8">
        <f t="shared" si="1"/>
        <v>1512</v>
      </c>
      <c r="L8" t="s">
        <v>36</v>
      </c>
    </row>
    <row r="9" spans="1:13" x14ac:dyDescent="0.2">
      <c r="A9" t="s">
        <v>53</v>
      </c>
      <c r="B9" t="s">
        <v>54</v>
      </c>
      <c r="C9" t="s">
        <v>33</v>
      </c>
      <c r="D9" t="s">
        <v>34</v>
      </c>
      <c r="E9" t="s">
        <v>55</v>
      </c>
      <c r="F9">
        <v>11</v>
      </c>
      <c r="G9">
        <v>39</v>
      </c>
      <c r="H9">
        <f t="shared" si="0"/>
        <v>429</v>
      </c>
      <c r="I9">
        <v>0</v>
      </c>
      <c r="J9">
        <v>0</v>
      </c>
      <c r="K9">
        <f t="shared" si="1"/>
        <v>429</v>
      </c>
      <c r="L9" t="s">
        <v>36</v>
      </c>
    </row>
    <row r="10" spans="1:13" x14ac:dyDescent="0.2">
      <c r="A10" t="s">
        <v>53</v>
      </c>
      <c r="B10" t="s">
        <v>54</v>
      </c>
      <c r="C10" t="s">
        <v>33</v>
      </c>
      <c r="D10" t="s">
        <v>34</v>
      </c>
      <c r="E10" t="s">
        <v>56</v>
      </c>
      <c r="F10">
        <v>11</v>
      </c>
      <c r="G10">
        <v>39</v>
      </c>
      <c r="H10">
        <f t="shared" si="0"/>
        <v>429</v>
      </c>
      <c r="I10">
        <v>0</v>
      </c>
      <c r="J10">
        <v>0</v>
      </c>
      <c r="K10">
        <f t="shared" si="1"/>
        <v>429</v>
      </c>
      <c r="L10" t="s">
        <v>36</v>
      </c>
    </row>
    <row r="11" spans="1:13" x14ac:dyDescent="0.2">
      <c r="A11" t="s">
        <v>57</v>
      </c>
      <c r="B11" t="s">
        <v>58</v>
      </c>
      <c r="C11" t="s">
        <v>33</v>
      </c>
      <c r="D11" t="s">
        <v>34</v>
      </c>
      <c r="E11" t="s">
        <v>59</v>
      </c>
      <c r="F11">
        <v>7</v>
      </c>
      <c r="G11">
        <v>39.119999999999997</v>
      </c>
      <c r="H11">
        <f t="shared" si="0"/>
        <v>273.83999999999997</v>
      </c>
      <c r="I11">
        <v>0</v>
      </c>
      <c r="J11">
        <v>0</v>
      </c>
      <c r="K11">
        <f t="shared" si="1"/>
        <v>273.83999999999997</v>
      </c>
      <c r="L11" t="s">
        <v>36</v>
      </c>
    </row>
    <row r="12" spans="1:13" x14ac:dyDescent="0.2">
      <c r="A12" t="s">
        <v>60</v>
      </c>
      <c r="B12" t="s">
        <v>61</v>
      </c>
      <c r="C12" t="s">
        <v>33</v>
      </c>
      <c r="D12" t="s">
        <v>34</v>
      </c>
      <c r="E12" t="s">
        <v>62</v>
      </c>
      <c r="F12">
        <v>6</v>
      </c>
      <c r="G12">
        <v>40.6</v>
      </c>
      <c r="H12">
        <f t="shared" si="0"/>
        <v>243.60000000000002</v>
      </c>
      <c r="I12">
        <v>0</v>
      </c>
      <c r="J12">
        <v>0</v>
      </c>
      <c r="K12">
        <f t="shared" si="1"/>
        <v>243.60000000000002</v>
      </c>
      <c r="L12" t="s">
        <v>36</v>
      </c>
    </row>
    <row r="13" spans="1:13" x14ac:dyDescent="0.2">
      <c r="A13" t="s">
        <v>63</v>
      </c>
      <c r="B13" t="s">
        <v>64</v>
      </c>
      <c r="C13" t="s">
        <v>33</v>
      </c>
      <c r="D13" t="s">
        <v>34</v>
      </c>
      <c r="E13" t="s">
        <v>65</v>
      </c>
      <c r="F13">
        <v>16</v>
      </c>
      <c r="G13">
        <v>42.8</v>
      </c>
      <c r="H13">
        <f t="shared" si="0"/>
        <v>684.8</v>
      </c>
      <c r="I13">
        <v>0</v>
      </c>
      <c r="J13">
        <v>0</v>
      </c>
      <c r="K13">
        <f t="shared" si="1"/>
        <v>684.8</v>
      </c>
      <c r="L13" t="s">
        <v>36</v>
      </c>
    </row>
    <row r="14" spans="1:13" x14ac:dyDescent="0.2">
      <c r="A14" t="s">
        <v>66</v>
      </c>
      <c r="B14" t="s">
        <v>67</v>
      </c>
      <c r="C14" t="s">
        <v>33</v>
      </c>
      <c r="D14" t="s">
        <v>34</v>
      </c>
      <c r="E14" t="s">
        <v>68</v>
      </c>
      <c r="F14">
        <v>33</v>
      </c>
      <c r="G14">
        <v>43.47</v>
      </c>
      <c r="H14">
        <f t="shared" si="0"/>
        <v>1434.51</v>
      </c>
      <c r="I14">
        <v>0</v>
      </c>
      <c r="J14">
        <v>0</v>
      </c>
      <c r="K14">
        <f t="shared" si="1"/>
        <v>1434.51</v>
      </c>
      <c r="L14" t="s">
        <v>36</v>
      </c>
    </row>
    <row r="15" spans="1:13" x14ac:dyDescent="0.2">
      <c r="A15" t="s">
        <v>69</v>
      </c>
      <c r="B15" t="s">
        <v>70</v>
      </c>
      <c r="C15" t="s">
        <v>33</v>
      </c>
      <c r="D15" t="s">
        <v>34</v>
      </c>
      <c r="E15" t="s">
        <v>71</v>
      </c>
      <c r="F15">
        <v>12</v>
      </c>
      <c r="G15">
        <v>47</v>
      </c>
      <c r="H15">
        <f t="shared" si="0"/>
        <v>564</v>
      </c>
      <c r="I15">
        <v>0</v>
      </c>
      <c r="J15">
        <v>0</v>
      </c>
      <c r="K15">
        <f t="shared" si="1"/>
        <v>564</v>
      </c>
      <c r="L15" t="s">
        <v>36</v>
      </c>
    </row>
    <row r="16" spans="1:13" x14ac:dyDescent="0.2">
      <c r="A16" t="s">
        <v>72</v>
      </c>
      <c r="B16" t="s">
        <v>73</v>
      </c>
      <c r="C16" t="s">
        <v>33</v>
      </c>
      <c r="D16" t="s">
        <v>34</v>
      </c>
      <c r="E16" t="s">
        <v>74</v>
      </c>
      <c r="F16">
        <v>3</v>
      </c>
      <c r="G16">
        <v>46.78</v>
      </c>
      <c r="H16">
        <f t="shared" si="0"/>
        <v>140.34</v>
      </c>
      <c r="I16">
        <v>0</v>
      </c>
      <c r="J16">
        <v>0</v>
      </c>
      <c r="K16">
        <f t="shared" si="1"/>
        <v>140.34</v>
      </c>
      <c r="L16" t="s">
        <v>36</v>
      </c>
    </row>
    <row r="17" spans="1:12" x14ac:dyDescent="0.2">
      <c r="A17" t="s">
        <v>75</v>
      </c>
      <c r="B17" t="s">
        <v>76</v>
      </c>
      <c r="C17" t="s">
        <v>33</v>
      </c>
      <c r="D17" t="s">
        <v>34</v>
      </c>
      <c r="E17" t="s">
        <v>77</v>
      </c>
      <c r="F17">
        <v>26</v>
      </c>
      <c r="G17">
        <v>46</v>
      </c>
      <c r="H17">
        <f t="shared" si="0"/>
        <v>1196</v>
      </c>
      <c r="I17">
        <v>0</v>
      </c>
      <c r="J17">
        <v>0</v>
      </c>
      <c r="K17">
        <f t="shared" si="1"/>
        <v>1196</v>
      </c>
      <c r="L17" t="s">
        <v>36</v>
      </c>
    </row>
    <row r="18" spans="1:12" x14ac:dyDescent="0.2">
      <c r="A18" t="s">
        <v>78</v>
      </c>
      <c r="B18" t="s">
        <v>79</v>
      </c>
      <c r="C18" t="s">
        <v>33</v>
      </c>
      <c r="D18" t="s">
        <v>34</v>
      </c>
      <c r="E18" t="s">
        <v>80</v>
      </c>
      <c r="F18">
        <v>11</v>
      </c>
      <c r="G18">
        <v>45.68</v>
      </c>
      <c r="H18">
        <f t="shared" si="0"/>
        <v>502.48</v>
      </c>
      <c r="I18">
        <v>0</v>
      </c>
      <c r="J18">
        <v>0</v>
      </c>
      <c r="K18">
        <f t="shared" si="1"/>
        <v>502.48</v>
      </c>
      <c r="L18" t="s">
        <v>36</v>
      </c>
    </row>
    <row r="19" spans="1:12" x14ac:dyDescent="0.2">
      <c r="A19" t="s">
        <v>81</v>
      </c>
      <c r="B19" t="s">
        <v>82</v>
      </c>
      <c r="C19" t="s">
        <v>33</v>
      </c>
      <c r="D19" t="s">
        <v>34</v>
      </c>
      <c r="E19" t="s">
        <v>83</v>
      </c>
      <c r="F19">
        <v>9</v>
      </c>
      <c r="G19">
        <v>44.53</v>
      </c>
      <c r="H19">
        <f t="shared" si="0"/>
        <v>400.77</v>
      </c>
      <c r="I19">
        <v>0</v>
      </c>
      <c r="J19">
        <v>0</v>
      </c>
      <c r="K19">
        <f t="shared" si="1"/>
        <v>400.77</v>
      </c>
      <c r="L19" t="s">
        <v>36</v>
      </c>
    </row>
    <row r="20" spans="1:12" x14ac:dyDescent="0.2">
      <c r="A20" t="s">
        <v>84</v>
      </c>
      <c r="B20" t="s">
        <v>85</v>
      </c>
      <c r="C20" t="s">
        <v>33</v>
      </c>
      <c r="D20" t="s">
        <v>34</v>
      </c>
      <c r="E20" t="s">
        <v>86</v>
      </c>
      <c r="F20">
        <v>10</v>
      </c>
      <c r="G20">
        <v>45.77</v>
      </c>
      <c r="H20">
        <f t="shared" si="0"/>
        <v>457.70000000000005</v>
      </c>
      <c r="I20">
        <v>0</v>
      </c>
      <c r="J20">
        <v>0</v>
      </c>
      <c r="K20">
        <f t="shared" si="1"/>
        <v>457.70000000000005</v>
      </c>
      <c r="L20" t="s">
        <v>36</v>
      </c>
    </row>
    <row r="21" spans="1:12" x14ac:dyDescent="0.2">
      <c r="A21" t="s">
        <v>87</v>
      </c>
      <c r="B21" t="s">
        <v>88</v>
      </c>
      <c r="C21" t="s">
        <v>33</v>
      </c>
      <c r="D21" t="s">
        <v>34</v>
      </c>
      <c r="E21" t="s">
        <v>89</v>
      </c>
      <c r="F21">
        <v>6</v>
      </c>
      <c r="G21">
        <v>45.39</v>
      </c>
      <c r="H21">
        <f t="shared" si="0"/>
        <v>272.34000000000003</v>
      </c>
      <c r="I21">
        <v>0</v>
      </c>
      <c r="J21">
        <v>0</v>
      </c>
      <c r="K21">
        <f t="shared" si="1"/>
        <v>272.34000000000003</v>
      </c>
      <c r="L21" t="s">
        <v>36</v>
      </c>
    </row>
    <row r="22" spans="1:12" x14ac:dyDescent="0.2">
      <c r="A22" t="s">
        <v>90</v>
      </c>
      <c r="B22" t="s">
        <v>91</v>
      </c>
      <c r="C22" t="s">
        <v>33</v>
      </c>
      <c r="D22" t="s">
        <v>34</v>
      </c>
      <c r="E22" t="s">
        <v>92</v>
      </c>
      <c r="F22">
        <v>34</v>
      </c>
      <c r="G22">
        <v>46.23</v>
      </c>
      <c r="H22">
        <f t="shared" si="0"/>
        <v>1571.82</v>
      </c>
      <c r="I22">
        <v>1.0192000000000001</v>
      </c>
      <c r="J22">
        <v>9.9900000000000003E-2</v>
      </c>
      <c r="K22">
        <f t="shared" si="1"/>
        <v>1572.9390999999998</v>
      </c>
      <c r="L22" t="s">
        <v>36</v>
      </c>
    </row>
    <row r="23" spans="1:12" x14ac:dyDescent="0.2">
      <c r="A23" t="s">
        <v>93</v>
      </c>
      <c r="B23" t="s">
        <v>94</v>
      </c>
      <c r="C23" t="s">
        <v>33</v>
      </c>
      <c r="D23" t="s">
        <v>34</v>
      </c>
      <c r="E23" t="s">
        <v>95</v>
      </c>
      <c r="F23">
        <v>47</v>
      </c>
      <c r="G23">
        <v>49.42</v>
      </c>
      <c r="H23">
        <f t="shared" si="0"/>
        <v>2322.7400000000002</v>
      </c>
      <c r="I23">
        <v>2.0566000000000004</v>
      </c>
      <c r="J23">
        <v>0.19800000000000001</v>
      </c>
      <c r="K23">
        <f t="shared" si="1"/>
        <v>2324.9946</v>
      </c>
      <c r="L23" t="s">
        <v>36</v>
      </c>
    </row>
    <row r="24" spans="1:12" x14ac:dyDescent="0.2">
      <c r="A24" t="s">
        <v>96</v>
      </c>
      <c r="B24" t="s">
        <v>97</v>
      </c>
      <c r="C24" t="s">
        <v>33</v>
      </c>
      <c r="D24" t="s">
        <v>34</v>
      </c>
      <c r="E24" t="s">
        <v>98</v>
      </c>
      <c r="F24">
        <v>17</v>
      </c>
      <c r="G24">
        <v>52.81</v>
      </c>
      <c r="H24">
        <f t="shared" si="0"/>
        <v>897.77</v>
      </c>
      <c r="I24">
        <v>1.8564000000000001</v>
      </c>
      <c r="J24">
        <v>0.1782</v>
      </c>
      <c r="K24">
        <f t="shared" si="1"/>
        <v>899.80459999999994</v>
      </c>
      <c r="L24" t="s">
        <v>36</v>
      </c>
    </row>
    <row r="25" spans="1:12" x14ac:dyDescent="0.2">
      <c r="A25" t="s">
        <v>99</v>
      </c>
      <c r="B25" t="s">
        <v>100</v>
      </c>
      <c r="C25" t="s">
        <v>33</v>
      </c>
      <c r="D25" t="s">
        <v>34</v>
      </c>
      <c r="E25" t="s">
        <v>101</v>
      </c>
      <c r="F25">
        <v>22</v>
      </c>
      <c r="G25">
        <v>52.01</v>
      </c>
      <c r="H25">
        <f t="shared" si="0"/>
        <v>1144.22</v>
      </c>
      <c r="I25">
        <v>1.9110000000000003</v>
      </c>
      <c r="J25">
        <v>0.17280000000000001</v>
      </c>
      <c r="K25">
        <f t="shared" si="1"/>
        <v>1146.3038000000001</v>
      </c>
      <c r="L25" t="s">
        <v>36</v>
      </c>
    </row>
    <row r="26" spans="1:12" x14ac:dyDescent="0.2">
      <c r="A26" t="s">
        <v>102</v>
      </c>
      <c r="B26" t="s">
        <v>103</v>
      </c>
      <c r="C26" t="s">
        <v>33</v>
      </c>
      <c r="D26" t="s">
        <v>34</v>
      </c>
      <c r="E26" t="s">
        <v>104</v>
      </c>
      <c r="F26">
        <v>19</v>
      </c>
      <c r="G26">
        <v>51.42</v>
      </c>
      <c r="H26">
        <f t="shared" si="0"/>
        <v>976.98</v>
      </c>
      <c r="I26">
        <v>2.0202000000000004</v>
      </c>
      <c r="J26">
        <v>0.189</v>
      </c>
      <c r="K26">
        <f t="shared" si="1"/>
        <v>979.18920000000003</v>
      </c>
      <c r="L26" t="s">
        <v>36</v>
      </c>
    </row>
    <row r="27" spans="1:12" x14ac:dyDescent="0.2">
      <c r="A27" t="s">
        <v>102</v>
      </c>
      <c r="B27" t="s">
        <v>103</v>
      </c>
      <c r="C27" t="s">
        <v>33</v>
      </c>
      <c r="D27" t="s">
        <v>34</v>
      </c>
      <c r="E27" t="s">
        <v>105</v>
      </c>
      <c r="F27">
        <v>21</v>
      </c>
      <c r="G27">
        <v>51.43</v>
      </c>
      <c r="H27">
        <f t="shared" si="0"/>
        <v>1080.03</v>
      </c>
      <c r="I27">
        <v>2.0748000000000002</v>
      </c>
      <c r="J27">
        <v>0.19440000000000002</v>
      </c>
      <c r="K27">
        <f t="shared" si="1"/>
        <v>1082.2992000000002</v>
      </c>
      <c r="L27" t="s">
        <v>36</v>
      </c>
    </row>
    <row r="28" spans="1:12" x14ac:dyDescent="0.2">
      <c r="A28" t="s">
        <v>106</v>
      </c>
      <c r="B28" t="s">
        <v>107</v>
      </c>
      <c r="C28" t="s">
        <v>33</v>
      </c>
      <c r="D28" t="s">
        <v>34</v>
      </c>
      <c r="E28" t="s">
        <v>108</v>
      </c>
      <c r="F28">
        <v>39</v>
      </c>
      <c r="G28">
        <v>55.03</v>
      </c>
      <c r="H28">
        <f t="shared" si="0"/>
        <v>2146.17</v>
      </c>
      <c r="I28">
        <v>1.82</v>
      </c>
      <c r="J28">
        <v>0.19620000000000001</v>
      </c>
      <c r="K28">
        <f t="shared" si="1"/>
        <v>2148.1862000000001</v>
      </c>
      <c r="L28" t="s">
        <v>36</v>
      </c>
    </row>
    <row r="29" spans="1:12" x14ac:dyDescent="0.2">
      <c r="A29" t="s">
        <v>109</v>
      </c>
      <c r="B29" t="s">
        <v>110</v>
      </c>
      <c r="C29" t="s">
        <v>33</v>
      </c>
      <c r="D29" t="s">
        <v>34</v>
      </c>
      <c r="E29" t="s">
        <v>111</v>
      </c>
      <c r="F29">
        <v>50</v>
      </c>
      <c r="G29">
        <v>52.96</v>
      </c>
      <c r="H29">
        <f t="shared" si="0"/>
        <v>2648</v>
      </c>
      <c r="I29">
        <v>2.0384000000000002</v>
      </c>
      <c r="J29">
        <v>0.19980000000000001</v>
      </c>
      <c r="K29">
        <f t="shared" si="1"/>
        <v>2650.2381999999998</v>
      </c>
      <c r="L29" t="s">
        <v>36</v>
      </c>
    </row>
    <row r="30" spans="1:12" x14ac:dyDescent="0.2">
      <c r="A30" t="s">
        <v>112</v>
      </c>
      <c r="B30" t="s">
        <v>113</v>
      </c>
      <c r="C30" t="s">
        <v>33</v>
      </c>
      <c r="D30" t="s">
        <v>34</v>
      </c>
      <c r="E30" t="s">
        <v>114</v>
      </c>
      <c r="F30">
        <v>28</v>
      </c>
      <c r="G30">
        <v>55.9</v>
      </c>
      <c r="H30">
        <f t="shared" si="0"/>
        <v>1565.2</v>
      </c>
      <c r="I30">
        <v>2.0202000000000004</v>
      </c>
      <c r="J30">
        <v>0.19980000000000001</v>
      </c>
      <c r="K30">
        <f t="shared" si="1"/>
        <v>1567.42</v>
      </c>
      <c r="L30" t="s">
        <v>36</v>
      </c>
    </row>
    <row r="31" spans="1:12" x14ac:dyDescent="0.2">
      <c r="A31" t="s">
        <v>115</v>
      </c>
      <c r="B31" t="s">
        <v>116</v>
      </c>
      <c r="C31" t="s">
        <v>33</v>
      </c>
      <c r="D31" t="s">
        <v>34</v>
      </c>
      <c r="E31" t="s">
        <v>117</v>
      </c>
      <c r="F31">
        <v>52</v>
      </c>
      <c r="G31">
        <v>58.81</v>
      </c>
      <c r="H31">
        <f t="shared" si="0"/>
        <v>3058.12</v>
      </c>
      <c r="I31">
        <v>3.1941000000000006</v>
      </c>
      <c r="J31">
        <v>0.2646</v>
      </c>
      <c r="K31">
        <f t="shared" si="1"/>
        <v>3061.5787</v>
      </c>
      <c r="L31" t="s">
        <v>36</v>
      </c>
    </row>
    <row r="32" spans="1:12" x14ac:dyDescent="0.2">
      <c r="A32" t="s">
        <v>118</v>
      </c>
      <c r="B32" t="s">
        <v>119</v>
      </c>
      <c r="C32" t="s">
        <v>33</v>
      </c>
      <c r="D32" t="s">
        <v>34</v>
      </c>
      <c r="E32" t="s">
        <v>120</v>
      </c>
      <c r="F32">
        <v>72</v>
      </c>
      <c r="G32">
        <v>63.28</v>
      </c>
      <c r="H32">
        <f t="shared" si="0"/>
        <v>4556.16</v>
      </c>
      <c r="I32">
        <v>3.1122000000000005</v>
      </c>
      <c r="J32">
        <v>0.28080000000000005</v>
      </c>
      <c r="K32">
        <f t="shared" si="1"/>
        <v>4559.5529999999999</v>
      </c>
      <c r="L32" t="s">
        <v>36</v>
      </c>
    </row>
    <row r="33" spans="1:12" x14ac:dyDescent="0.2">
      <c r="A33" t="s">
        <v>121</v>
      </c>
      <c r="B33" t="s">
        <v>122</v>
      </c>
      <c r="C33" t="s">
        <v>33</v>
      </c>
      <c r="D33" t="s">
        <v>34</v>
      </c>
      <c r="E33" t="s">
        <v>123</v>
      </c>
      <c r="F33">
        <v>37</v>
      </c>
      <c r="G33">
        <v>62.89</v>
      </c>
      <c r="H33">
        <f t="shared" si="0"/>
        <v>2326.9299999999998</v>
      </c>
      <c r="I33">
        <v>3.2487000000000004</v>
      </c>
      <c r="J33">
        <v>0.27540000000000003</v>
      </c>
      <c r="K33">
        <f t="shared" si="1"/>
        <v>2330.4540999999999</v>
      </c>
      <c r="L33" t="s">
        <v>36</v>
      </c>
    </row>
    <row r="34" spans="1:12" x14ac:dyDescent="0.2">
      <c r="A34" t="s">
        <v>124</v>
      </c>
      <c r="B34" t="s">
        <v>125</v>
      </c>
      <c r="C34" t="s">
        <v>33</v>
      </c>
      <c r="D34" t="s">
        <v>126</v>
      </c>
      <c r="E34" t="s">
        <v>127</v>
      </c>
      <c r="F34">
        <v>47</v>
      </c>
      <c r="G34">
        <v>64.22</v>
      </c>
      <c r="H34">
        <f t="shared" si="0"/>
        <v>3018.34</v>
      </c>
      <c r="I34">
        <v>2.7846000000000002</v>
      </c>
      <c r="J34">
        <v>0.26730000000000004</v>
      </c>
      <c r="K34">
        <f t="shared" si="1"/>
        <v>3021.3919000000001</v>
      </c>
      <c r="L34" t="s">
        <v>36</v>
      </c>
    </row>
    <row r="35" spans="1:12" x14ac:dyDescent="0.2">
      <c r="A35" t="s">
        <v>128</v>
      </c>
      <c r="B35" t="s">
        <v>129</v>
      </c>
      <c r="C35" t="s">
        <v>33</v>
      </c>
      <c r="D35" t="s">
        <v>34</v>
      </c>
      <c r="E35" t="s">
        <v>130</v>
      </c>
      <c r="F35">
        <v>82</v>
      </c>
      <c r="G35">
        <v>59.14</v>
      </c>
      <c r="H35">
        <f t="shared" si="0"/>
        <v>4849.4800000000005</v>
      </c>
      <c r="I35">
        <v>2.8665000000000003</v>
      </c>
      <c r="J35">
        <v>0.30240000000000006</v>
      </c>
      <c r="K35">
        <f t="shared" si="1"/>
        <v>4852.6489000000001</v>
      </c>
      <c r="L35" t="s">
        <v>36</v>
      </c>
    </row>
    <row r="36" spans="1:12" x14ac:dyDescent="0.2">
      <c r="A36" s="4">
        <v>45789</v>
      </c>
      <c r="B36" s="4">
        <v>45789</v>
      </c>
      <c r="C36" t="s">
        <v>160</v>
      </c>
      <c r="D36" t="s">
        <v>34</v>
      </c>
      <c r="E36">
        <v>207336620</v>
      </c>
      <c r="F36">
        <v>20</v>
      </c>
      <c r="G36">
        <v>171</v>
      </c>
      <c r="H36">
        <f t="shared" si="0"/>
        <v>3420</v>
      </c>
      <c r="I36">
        <v>2.8665000000000003</v>
      </c>
      <c r="J36">
        <v>0.30240000000000006</v>
      </c>
      <c r="K36">
        <f>SUM(H36:J36)</f>
        <v>3423.1689000000001</v>
      </c>
      <c r="L36" t="s">
        <v>161</v>
      </c>
    </row>
    <row r="37" spans="1:12" x14ac:dyDescent="0.2">
      <c r="A37" t="s">
        <v>131</v>
      </c>
      <c r="B37" t="s">
        <v>132</v>
      </c>
      <c r="C37" t="s">
        <v>33</v>
      </c>
      <c r="D37" t="s">
        <v>126</v>
      </c>
      <c r="E37" t="s">
        <v>133</v>
      </c>
      <c r="F37">
        <v>6</v>
      </c>
      <c r="G37">
        <v>62.07</v>
      </c>
      <c r="H37">
        <f t="shared" si="0"/>
        <v>372.42</v>
      </c>
      <c r="I37">
        <v>3.1395000000000004</v>
      </c>
      <c r="J37">
        <v>0.29160000000000003</v>
      </c>
      <c r="K37">
        <f t="shared" si="1"/>
        <v>375.85110000000003</v>
      </c>
      <c r="L37" t="s">
        <v>36</v>
      </c>
    </row>
    <row r="38" spans="1:12" x14ac:dyDescent="0.2">
      <c r="A38" t="s">
        <v>135</v>
      </c>
      <c r="B38" t="s">
        <v>134</v>
      </c>
      <c r="C38" t="s">
        <v>33</v>
      </c>
      <c r="D38" t="s">
        <v>34</v>
      </c>
      <c r="E38" t="s">
        <v>136</v>
      </c>
      <c r="F38">
        <v>98</v>
      </c>
      <c r="G38">
        <v>64.540000000000006</v>
      </c>
      <c r="H38">
        <f t="shared" si="0"/>
        <v>6324.920000000001</v>
      </c>
      <c r="I38">
        <v>3.0303000000000004</v>
      </c>
      <c r="J38">
        <v>0.2727</v>
      </c>
      <c r="K38">
        <f t="shared" si="1"/>
        <v>6328.2230000000018</v>
      </c>
      <c r="L38" t="s">
        <v>36</v>
      </c>
    </row>
    <row r="39" spans="1:12" x14ac:dyDescent="0.2">
      <c r="A39" t="s">
        <v>137</v>
      </c>
      <c r="B39" t="s">
        <v>138</v>
      </c>
      <c r="C39" t="s">
        <v>33</v>
      </c>
      <c r="D39" t="s">
        <v>34</v>
      </c>
      <c r="E39" t="s">
        <v>139</v>
      </c>
      <c r="F39">
        <v>259</v>
      </c>
      <c r="G39">
        <v>66.010000000000005</v>
      </c>
      <c r="H39">
        <f t="shared" si="0"/>
        <v>17096.59</v>
      </c>
      <c r="I39">
        <v>3.0030000000000001</v>
      </c>
      <c r="J39">
        <v>0.28890000000000005</v>
      </c>
      <c r="K39">
        <f t="shared" si="1"/>
        <v>17099.8819</v>
      </c>
      <c r="L39" t="s">
        <v>36</v>
      </c>
    </row>
    <row r="40" spans="1:12" x14ac:dyDescent="0.2">
      <c r="A40" s="4">
        <v>45941</v>
      </c>
      <c r="B40" s="4">
        <v>45941</v>
      </c>
      <c r="C40" t="s">
        <v>160</v>
      </c>
      <c r="D40" t="s">
        <v>34</v>
      </c>
      <c r="E40">
        <v>207336622</v>
      </c>
      <c r="F40">
        <v>7</v>
      </c>
      <c r="G40">
        <v>193.02</v>
      </c>
      <c r="H40">
        <f t="shared" si="0"/>
        <v>1351.14</v>
      </c>
      <c r="I40">
        <v>3.0030000000000001</v>
      </c>
      <c r="J40">
        <v>0.28890000000000005</v>
      </c>
      <c r="K40">
        <f>SUM(H40:J40)</f>
        <v>1354.4319</v>
      </c>
      <c r="L40" t="s">
        <v>161</v>
      </c>
    </row>
    <row r="41" spans="1:12" x14ac:dyDescent="0.2">
      <c r="A41" s="4">
        <v>45976</v>
      </c>
      <c r="B41" s="4">
        <v>45976</v>
      </c>
      <c r="C41" t="s">
        <v>162</v>
      </c>
      <c r="D41" t="s">
        <v>34</v>
      </c>
      <c r="E41">
        <v>207336623</v>
      </c>
      <c r="F41">
        <v>4</v>
      </c>
      <c r="G41">
        <v>256.48</v>
      </c>
      <c r="H41">
        <f t="shared" si="0"/>
        <v>1025.92</v>
      </c>
      <c r="I41">
        <v>3.0030000000000001</v>
      </c>
      <c r="J41">
        <v>0.28890000000000005</v>
      </c>
      <c r="K41">
        <f>SUM(H41:J41)</f>
        <v>1029.2119</v>
      </c>
      <c r="L41" t="s">
        <v>161</v>
      </c>
    </row>
    <row r="42" spans="1:12" x14ac:dyDescent="0.2">
      <c r="A42" s="4">
        <v>45990</v>
      </c>
      <c r="B42" s="4">
        <v>45990</v>
      </c>
      <c r="C42" t="s">
        <v>162</v>
      </c>
      <c r="D42" t="s">
        <v>34</v>
      </c>
      <c r="E42">
        <v>207336629</v>
      </c>
      <c r="F42">
        <v>1</v>
      </c>
      <c r="G42">
        <v>278.88</v>
      </c>
      <c r="H42">
        <f t="shared" si="0"/>
        <v>278.88</v>
      </c>
      <c r="I42">
        <v>3.0030000000000001</v>
      </c>
      <c r="J42">
        <v>0.28890000000000005</v>
      </c>
      <c r="K42">
        <f>SUM(H42:J42)</f>
        <v>282.17189999999999</v>
      </c>
      <c r="L4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Assets &amp; Liabilities</vt:lpstr>
      <vt:lpstr>Employment</vt:lpstr>
      <vt:lpstr>Investments - Cost Basis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Giang</dc:creator>
  <cp:lastModifiedBy>Vincent Giang</cp:lastModifiedBy>
  <dcterms:created xsi:type="dcterms:W3CDTF">2025-12-25T10:39:19Z</dcterms:created>
  <dcterms:modified xsi:type="dcterms:W3CDTF">2025-12-26T12:34:32Z</dcterms:modified>
</cp:coreProperties>
</file>